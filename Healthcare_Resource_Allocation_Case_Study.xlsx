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510" windowHeight="7140" activeTab="1"/>
  </bookViews>
  <sheets>
    <sheet name="Sheet1" sheetId="1" r:id="rId1"/>
    <sheet name="Sheet2" sheetId="2" r:id="rId2"/>
  </sheets>
  <definedNames>
    <definedName name="_xlnm._FilterDatabase" localSheetId="0" hidden="1">Sheet1!$A$1:$A$19</definedName>
  </definedNames>
  <calcPr calcId="152511"/>
  <pivotCaches>
    <pivotCache cacheId="23" r:id="rId3"/>
  </pivotCaches>
</workbook>
</file>

<file path=xl/calcChain.xml><?xml version="1.0" encoding="utf-8"?>
<calcChain xmlns="http://schemas.openxmlformats.org/spreadsheetml/2006/main">
  <c r="H7" i="1" l="1"/>
  <c r="F18" i="1"/>
  <c r="I19" i="1"/>
  <c r="H19" i="1" s="1"/>
  <c r="I16" i="1"/>
  <c r="H16" i="1" s="1"/>
  <c r="I13" i="1"/>
  <c r="H13" i="1" s="1"/>
  <c r="I10" i="1"/>
  <c r="H10" i="1" s="1"/>
  <c r="I7" i="1"/>
  <c r="I4" i="1"/>
  <c r="H4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" i="1"/>
  <c r="G3" i="1"/>
  <c r="F3" i="1" s="1"/>
  <c r="G4" i="1"/>
  <c r="F4" i="1" s="1"/>
  <c r="G5" i="1"/>
  <c r="F5" i="1" s="1"/>
  <c r="G6" i="1"/>
  <c r="F6" i="1" s="1"/>
  <c r="G7" i="1"/>
  <c r="F7" i="1" s="1"/>
  <c r="G8" i="1"/>
  <c r="F8" i="1" s="1"/>
  <c r="G9" i="1"/>
  <c r="F9" i="1" s="1"/>
  <c r="G10" i="1"/>
  <c r="F10" i="1" s="1"/>
  <c r="G11" i="1"/>
  <c r="F11" i="1" s="1"/>
  <c r="G12" i="1"/>
  <c r="F12" i="1" s="1"/>
  <c r="G13" i="1"/>
  <c r="F13" i="1" s="1"/>
  <c r="G14" i="1"/>
  <c r="F14" i="1" s="1"/>
  <c r="G15" i="1"/>
  <c r="F15" i="1" s="1"/>
  <c r="G16" i="1"/>
  <c r="F16" i="1" s="1"/>
  <c r="G17" i="1"/>
  <c r="F17" i="1" s="1"/>
  <c r="G18" i="1"/>
  <c r="G19" i="1"/>
  <c r="F19" i="1" s="1"/>
  <c r="G2" i="1"/>
  <c r="F2" i="1" s="1"/>
  <c r="E3" i="1"/>
  <c r="D3" i="1" s="1"/>
  <c r="E4" i="1"/>
  <c r="D4" i="1" s="1"/>
  <c r="E5" i="1"/>
  <c r="D5" i="1" s="1"/>
  <c r="E6" i="1"/>
  <c r="D6" i="1" s="1"/>
  <c r="E7" i="1"/>
  <c r="D7" i="1" s="1"/>
  <c r="E8" i="1"/>
  <c r="D8" i="1" s="1"/>
  <c r="E9" i="1"/>
  <c r="D9" i="1" s="1"/>
  <c r="E10" i="1"/>
  <c r="D10" i="1" s="1"/>
  <c r="E11" i="1"/>
  <c r="D11" i="1" s="1"/>
  <c r="E12" i="1"/>
  <c r="D12" i="1" s="1"/>
  <c r="E13" i="1"/>
  <c r="D13" i="1" s="1"/>
  <c r="E14" i="1"/>
  <c r="D14" i="1" s="1"/>
  <c r="E15" i="1"/>
  <c r="D15" i="1" s="1"/>
  <c r="E16" i="1"/>
  <c r="D16" i="1" s="1"/>
  <c r="E17" i="1"/>
  <c r="D17" i="1" s="1"/>
  <c r="E18" i="1"/>
  <c r="D18" i="1" s="1"/>
  <c r="E19" i="1"/>
  <c r="D19" i="1" s="1"/>
  <c r="E2" i="1"/>
  <c r="D2" i="1" s="1"/>
</calcChain>
</file>

<file path=xl/sharedStrings.xml><?xml version="1.0" encoding="utf-8"?>
<sst xmlns="http://schemas.openxmlformats.org/spreadsheetml/2006/main" count="113" uniqueCount="18">
  <si>
    <t>Department</t>
  </si>
  <si>
    <t>Month</t>
  </si>
  <si>
    <t>Patients Admitted</t>
  </si>
  <si>
    <t>General Medicine</t>
  </si>
  <si>
    <t>Surgery</t>
  </si>
  <si>
    <t>ICU</t>
  </si>
  <si>
    <t>January</t>
  </si>
  <si>
    <t>February</t>
  </si>
  <si>
    <t>March</t>
  </si>
  <si>
    <t>April</t>
  </si>
  <si>
    <t>May</t>
  </si>
  <si>
    <t>June</t>
  </si>
  <si>
    <t>N/A</t>
  </si>
  <si>
    <t>Doctors needed</t>
  </si>
  <si>
    <t>Nurses needed</t>
  </si>
  <si>
    <t xml:space="preserve">ventilators needed </t>
  </si>
  <si>
    <t xml:space="preserve">Beds needed </t>
  </si>
  <si>
    <t>Ventilators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</si>
</sst>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576.022905439815" createdVersion="5" refreshedVersion="5" minRefreshableVersion="3" recordCount="18">
  <cacheSource type="worksheet">
    <worksheetSource ref="A1:J19" sheet="Sheet1"/>
  </cacheSource>
  <cacheFields count="7">
    <cacheField name="Department" numFmtId="0">
      <sharedItems count="3">
        <s v="General Medicine"/>
        <s v="Surgery"/>
        <s v="ICU"/>
      </sharedItems>
    </cacheField>
    <cacheField name="Month" numFmtId="0">
      <sharedItems count="6">
        <s v="January"/>
        <s v="February"/>
        <s v="March"/>
        <s v="April"/>
        <s v="May"/>
        <s v="June"/>
      </sharedItems>
    </cacheField>
    <cacheField name="Patients Admitted" numFmtId="0">
      <sharedItems containsSemiMixedTypes="0" containsString="0" containsNumber="1" containsInteger="1" minValue="50" maxValue="250"/>
    </cacheField>
    <cacheField name="Doctors needed" numFmtId="0">
      <sharedItems containsSemiMixedTypes="0" containsString="0" containsNumber="1" minValue="3.3333333333333335" maxValue="16.666666666666668"/>
    </cacheField>
    <cacheField name="Nurses needed" numFmtId="0">
      <sharedItems containsSemiMixedTypes="0" containsString="0" containsNumber="1" minValue="6.25" maxValue="31.25"/>
    </cacheField>
    <cacheField name="ventilators needed " numFmtId="0">
      <sharedItems containsMixedTypes="1" containsNumber="1" minValue="5" maxValue="7.5"/>
    </cacheField>
    <cacheField name="Beds needed " numFmtId="0">
      <sharedItems containsSemiMixedTypes="0" containsString="0" containsNumber="1" containsInteger="1" minValue="50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n v="200"/>
    <n v="13.333333333333334"/>
    <n v="25"/>
    <s v="N/A"/>
    <n v="200"/>
  </r>
  <r>
    <x v="1"/>
    <x v="0"/>
    <n v="100"/>
    <n v="6.666666666666667"/>
    <n v="12.5"/>
    <s v="N/A"/>
    <n v="100"/>
  </r>
  <r>
    <x v="2"/>
    <x v="0"/>
    <n v="50"/>
    <n v="3.3333333333333335"/>
    <n v="6.25"/>
    <n v="5"/>
    <n v="50"/>
  </r>
  <r>
    <x v="0"/>
    <x v="1"/>
    <n v="220"/>
    <n v="14.666666666666666"/>
    <n v="27.5"/>
    <s v="N/A"/>
    <n v="220"/>
  </r>
  <r>
    <x v="1"/>
    <x v="1"/>
    <n v="120"/>
    <n v="8"/>
    <n v="15"/>
    <s v="N/A"/>
    <n v="120"/>
  </r>
  <r>
    <x v="2"/>
    <x v="1"/>
    <n v="60"/>
    <n v="4"/>
    <n v="7.5"/>
    <n v="6"/>
    <n v="60"/>
  </r>
  <r>
    <x v="0"/>
    <x v="2"/>
    <n v="210"/>
    <n v="14"/>
    <n v="26.25"/>
    <s v="N/A"/>
    <n v="210"/>
  </r>
  <r>
    <x v="1"/>
    <x v="2"/>
    <n v="110"/>
    <n v="7.333333333333333"/>
    <n v="13.75"/>
    <s v="N/A"/>
    <n v="110"/>
  </r>
  <r>
    <x v="2"/>
    <x v="2"/>
    <n v="55"/>
    <n v="3.6666666666666665"/>
    <n v="6.875"/>
    <n v="5.5"/>
    <n v="55"/>
  </r>
  <r>
    <x v="0"/>
    <x v="3"/>
    <n v="230"/>
    <n v="15.333333333333334"/>
    <n v="28.75"/>
    <s v="N/A"/>
    <n v="230"/>
  </r>
  <r>
    <x v="1"/>
    <x v="3"/>
    <n v="130"/>
    <n v="8.6666666666666661"/>
    <n v="16.25"/>
    <s v="N/A"/>
    <n v="130"/>
  </r>
  <r>
    <x v="2"/>
    <x v="3"/>
    <n v="65"/>
    <n v="4.333333333333333"/>
    <n v="8.125"/>
    <n v="6.5"/>
    <n v="65"/>
  </r>
  <r>
    <x v="0"/>
    <x v="4"/>
    <n v="240"/>
    <n v="16"/>
    <n v="30"/>
    <s v="N/A"/>
    <n v="240"/>
  </r>
  <r>
    <x v="1"/>
    <x v="4"/>
    <n v="140"/>
    <n v="9.3333333333333339"/>
    <n v="17.5"/>
    <s v="N/A"/>
    <n v="140"/>
  </r>
  <r>
    <x v="2"/>
    <x v="4"/>
    <n v="70"/>
    <n v="4.666666666666667"/>
    <n v="8.75"/>
    <n v="7"/>
    <n v="70"/>
  </r>
  <r>
    <x v="0"/>
    <x v="5"/>
    <n v="250"/>
    <n v="16.666666666666668"/>
    <n v="31.25"/>
    <s v="N/A"/>
    <n v="250"/>
  </r>
  <r>
    <x v="1"/>
    <x v="5"/>
    <n v="150"/>
    <n v="10"/>
    <n v="18.75"/>
    <s v="N/A"/>
    <n v="150"/>
  </r>
  <r>
    <x v="2"/>
    <x v="5"/>
    <n v="75"/>
    <n v="5"/>
    <n v="9.375"/>
    <n v="7.5"/>
    <n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2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M5:O22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J1" sqref="J1:J1048576"/>
    </sheetView>
  </sheetViews>
  <sheetFormatPr defaultRowHeight="14.5" x14ac:dyDescent="0.35"/>
  <cols>
    <col min="1" max="1" width="15.54296875" bestFit="1" customWidth="1"/>
    <col min="2" max="2" width="8.26953125" bestFit="1" customWidth="1"/>
    <col min="3" max="3" width="16.1796875" bestFit="1" customWidth="1"/>
    <col min="4" max="4" width="16.1796875" customWidth="1"/>
    <col min="5" max="5" width="14.1796875" bestFit="1" customWidth="1"/>
    <col min="6" max="6" width="14.1796875" customWidth="1"/>
    <col min="7" max="7" width="13.36328125" bestFit="1" customWidth="1"/>
    <col min="8" max="8" width="17" bestFit="1" customWidth="1"/>
    <col min="9" max="9" width="17.1796875" bestFit="1" customWidth="1"/>
    <col min="10" max="10" width="12" bestFit="1" customWidth="1"/>
  </cols>
  <sheetData>
    <row r="1" spans="1:15" s="11" customFormat="1" x14ac:dyDescent="0.35">
      <c r="A1" s="1" t="s">
        <v>0</v>
      </c>
      <c r="B1" s="1" t="s">
        <v>1</v>
      </c>
      <c r="C1" s="1" t="s">
        <v>2</v>
      </c>
      <c r="D1" s="12" t="s">
        <v>13</v>
      </c>
      <c r="E1" s="11" t="s">
        <v>13</v>
      </c>
      <c r="F1" s="11" t="s">
        <v>14</v>
      </c>
      <c r="G1" s="11" t="s">
        <v>14</v>
      </c>
      <c r="H1" s="11" t="s">
        <v>17</v>
      </c>
      <c r="I1" s="11" t="s">
        <v>15</v>
      </c>
      <c r="J1" s="11" t="s">
        <v>16</v>
      </c>
    </row>
    <row r="2" spans="1:15" x14ac:dyDescent="0.35">
      <c r="A2" t="s">
        <v>3</v>
      </c>
      <c r="B2" t="s">
        <v>6</v>
      </c>
      <c r="C2">
        <v>200</v>
      </c>
      <c r="D2">
        <f>ROUND(E2,0)</f>
        <v>13</v>
      </c>
      <c r="E2">
        <f>C2/15</f>
        <v>13.333333333333334</v>
      </c>
      <c r="F2">
        <f>ROUND(G2,0)</f>
        <v>25</v>
      </c>
      <c r="G2">
        <f>C2/8</f>
        <v>25</v>
      </c>
      <c r="I2" t="s">
        <v>12</v>
      </c>
      <c r="J2">
        <f>C2</f>
        <v>200</v>
      </c>
    </row>
    <row r="3" spans="1:15" x14ac:dyDescent="0.35">
      <c r="A3" t="s">
        <v>4</v>
      </c>
      <c r="B3" t="s">
        <v>6</v>
      </c>
      <c r="C3">
        <v>100</v>
      </c>
      <c r="D3">
        <f t="shared" ref="D3:D19" si="0">ROUND(E3,0)</f>
        <v>7</v>
      </c>
      <c r="E3">
        <f t="shared" ref="E3:E19" si="1">C3/15</f>
        <v>6.666666666666667</v>
      </c>
      <c r="F3">
        <f t="shared" ref="F3:F19" si="2">ROUND(G3,0)</f>
        <v>13</v>
      </c>
      <c r="G3">
        <f t="shared" ref="G3:G19" si="3">C3/8</f>
        <v>12.5</v>
      </c>
      <c r="I3" t="s">
        <v>12</v>
      </c>
      <c r="J3">
        <f t="shared" ref="J3:J19" si="4">C3</f>
        <v>100</v>
      </c>
    </row>
    <row r="4" spans="1:15" x14ac:dyDescent="0.35">
      <c r="A4" t="s">
        <v>5</v>
      </c>
      <c r="B4" t="s">
        <v>6</v>
      </c>
      <c r="C4">
        <v>50</v>
      </c>
      <c r="D4">
        <f t="shared" si="0"/>
        <v>3</v>
      </c>
      <c r="E4">
        <f t="shared" si="1"/>
        <v>3.3333333333333335</v>
      </c>
      <c r="F4">
        <f t="shared" si="2"/>
        <v>6</v>
      </c>
      <c r="G4">
        <f t="shared" si="3"/>
        <v>6.25</v>
      </c>
      <c r="H4">
        <f>ROUND(I4,0)</f>
        <v>5</v>
      </c>
      <c r="I4">
        <f>C4/10</f>
        <v>5</v>
      </c>
      <c r="J4">
        <f t="shared" si="4"/>
        <v>50</v>
      </c>
    </row>
    <row r="5" spans="1:15" x14ac:dyDescent="0.35">
      <c r="A5" t="s">
        <v>3</v>
      </c>
      <c r="B5" t="s">
        <v>7</v>
      </c>
      <c r="C5">
        <v>220</v>
      </c>
      <c r="D5">
        <f t="shared" si="0"/>
        <v>15</v>
      </c>
      <c r="E5">
        <f t="shared" si="1"/>
        <v>14.666666666666666</v>
      </c>
      <c r="F5">
        <f t="shared" si="2"/>
        <v>28</v>
      </c>
      <c r="G5">
        <f t="shared" si="3"/>
        <v>27.5</v>
      </c>
      <c r="I5" t="s">
        <v>12</v>
      </c>
      <c r="J5">
        <f t="shared" si="4"/>
        <v>220</v>
      </c>
      <c r="M5" s="2"/>
      <c r="N5" s="3"/>
      <c r="O5" s="4"/>
    </row>
    <row r="6" spans="1:15" x14ac:dyDescent="0.35">
      <c r="A6" t="s">
        <v>4</v>
      </c>
      <c r="B6" t="s">
        <v>7</v>
      </c>
      <c r="C6">
        <v>120</v>
      </c>
      <c r="D6">
        <f t="shared" si="0"/>
        <v>8</v>
      </c>
      <c r="E6">
        <f t="shared" si="1"/>
        <v>8</v>
      </c>
      <c r="F6">
        <f t="shared" si="2"/>
        <v>15</v>
      </c>
      <c r="G6">
        <f t="shared" si="3"/>
        <v>15</v>
      </c>
      <c r="I6" t="s">
        <v>12</v>
      </c>
      <c r="J6">
        <f t="shared" si="4"/>
        <v>120</v>
      </c>
      <c r="M6" s="5"/>
      <c r="N6" s="6"/>
      <c r="O6" s="7"/>
    </row>
    <row r="7" spans="1:15" x14ac:dyDescent="0.35">
      <c r="A7" t="s">
        <v>5</v>
      </c>
      <c r="B7" t="s">
        <v>7</v>
      </c>
      <c r="C7">
        <v>60</v>
      </c>
      <c r="D7">
        <f t="shared" si="0"/>
        <v>4</v>
      </c>
      <c r="E7">
        <f t="shared" si="1"/>
        <v>4</v>
      </c>
      <c r="F7">
        <f t="shared" si="2"/>
        <v>8</v>
      </c>
      <c r="G7">
        <f t="shared" si="3"/>
        <v>7.5</v>
      </c>
      <c r="H7">
        <f>ROUND(I7,0)</f>
        <v>6</v>
      </c>
      <c r="I7">
        <f>C7/10</f>
        <v>6</v>
      </c>
      <c r="J7">
        <f t="shared" si="4"/>
        <v>60</v>
      </c>
      <c r="M7" s="5"/>
      <c r="N7" s="6"/>
      <c r="O7" s="7"/>
    </row>
    <row r="8" spans="1:15" x14ac:dyDescent="0.35">
      <c r="A8" t="s">
        <v>3</v>
      </c>
      <c r="B8" t="s">
        <v>8</v>
      </c>
      <c r="C8">
        <v>210</v>
      </c>
      <c r="D8">
        <f t="shared" si="0"/>
        <v>14</v>
      </c>
      <c r="E8">
        <f t="shared" si="1"/>
        <v>14</v>
      </c>
      <c r="F8">
        <f t="shared" si="2"/>
        <v>26</v>
      </c>
      <c r="G8">
        <f t="shared" si="3"/>
        <v>26.25</v>
      </c>
      <c r="I8" t="s">
        <v>12</v>
      </c>
      <c r="J8">
        <f t="shared" si="4"/>
        <v>210</v>
      </c>
      <c r="M8" s="5"/>
      <c r="N8" s="6"/>
      <c r="O8" s="7"/>
    </row>
    <row r="9" spans="1:15" x14ac:dyDescent="0.35">
      <c r="A9" t="s">
        <v>4</v>
      </c>
      <c r="B9" t="s">
        <v>8</v>
      </c>
      <c r="C9">
        <v>110</v>
      </c>
      <c r="D9">
        <f t="shared" si="0"/>
        <v>7</v>
      </c>
      <c r="E9">
        <f t="shared" si="1"/>
        <v>7.333333333333333</v>
      </c>
      <c r="F9">
        <f t="shared" si="2"/>
        <v>14</v>
      </c>
      <c r="G9">
        <f t="shared" si="3"/>
        <v>13.75</v>
      </c>
      <c r="I9" t="s">
        <v>12</v>
      </c>
      <c r="J9">
        <f t="shared" si="4"/>
        <v>110</v>
      </c>
      <c r="M9" s="5"/>
      <c r="N9" s="6"/>
      <c r="O9" s="7"/>
    </row>
    <row r="10" spans="1:15" x14ac:dyDescent="0.35">
      <c r="A10" t="s">
        <v>5</v>
      </c>
      <c r="B10" t="s">
        <v>8</v>
      </c>
      <c r="C10">
        <v>55</v>
      </c>
      <c r="D10">
        <f t="shared" si="0"/>
        <v>4</v>
      </c>
      <c r="E10">
        <f t="shared" si="1"/>
        <v>3.6666666666666665</v>
      </c>
      <c r="F10">
        <f t="shared" si="2"/>
        <v>7</v>
      </c>
      <c r="G10">
        <f t="shared" si="3"/>
        <v>6.875</v>
      </c>
      <c r="H10">
        <f>ROUND(I10,0)</f>
        <v>6</v>
      </c>
      <c r="I10">
        <f>C10/10</f>
        <v>5.5</v>
      </c>
      <c r="J10">
        <f t="shared" si="4"/>
        <v>55</v>
      </c>
      <c r="M10" s="5"/>
      <c r="N10" s="6"/>
      <c r="O10" s="7"/>
    </row>
    <row r="11" spans="1:15" x14ac:dyDescent="0.35">
      <c r="A11" t="s">
        <v>3</v>
      </c>
      <c r="B11" t="s">
        <v>9</v>
      </c>
      <c r="C11">
        <v>230</v>
      </c>
      <c r="D11">
        <f t="shared" si="0"/>
        <v>15</v>
      </c>
      <c r="E11">
        <f t="shared" si="1"/>
        <v>15.333333333333334</v>
      </c>
      <c r="F11">
        <f t="shared" si="2"/>
        <v>29</v>
      </c>
      <c r="G11">
        <f t="shared" si="3"/>
        <v>28.75</v>
      </c>
      <c r="I11" t="s">
        <v>12</v>
      </c>
      <c r="J11">
        <f t="shared" si="4"/>
        <v>230</v>
      </c>
      <c r="M11" s="5"/>
      <c r="N11" s="6"/>
      <c r="O11" s="7"/>
    </row>
    <row r="12" spans="1:15" x14ac:dyDescent="0.35">
      <c r="A12" t="s">
        <v>4</v>
      </c>
      <c r="B12" t="s">
        <v>9</v>
      </c>
      <c r="C12">
        <v>130</v>
      </c>
      <c r="D12">
        <f t="shared" si="0"/>
        <v>9</v>
      </c>
      <c r="E12">
        <f t="shared" si="1"/>
        <v>8.6666666666666661</v>
      </c>
      <c r="F12">
        <f t="shared" si="2"/>
        <v>16</v>
      </c>
      <c r="G12">
        <f t="shared" si="3"/>
        <v>16.25</v>
      </c>
      <c r="I12" t="s">
        <v>12</v>
      </c>
      <c r="J12">
        <f t="shared" si="4"/>
        <v>130</v>
      </c>
      <c r="M12" s="5"/>
      <c r="N12" s="6"/>
      <c r="O12" s="7"/>
    </row>
    <row r="13" spans="1:15" x14ac:dyDescent="0.35">
      <c r="A13" t="s">
        <v>5</v>
      </c>
      <c r="B13" t="s">
        <v>9</v>
      </c>
      <c r="C13">
        <v>65</v>
      </c>
      <c r="D13">
        <f t="shared" si="0"/>
        <v>4</v>
      </c>
      <c r="E13">
        <f t="shared" si="1"/>
        <v>4.333333333333333</v>
      </c>
      <c r="F13">
        <f t="shared" si="2"/>
        <v>8</v>
      </c>
      <c r="G13">
        <f t="shared" si="3"/>
        <v>8.125</v>
      </c>
      <c r="H13">
        <f>ROUND(I13,0)</f>
        <v>7</v>
      </c>
      <c r="I13">
        <f>C13/10</f>
        <v>6.5</v>
      </c>
      <c r="J13">
        <f t="shared" si="4"/>
        <v>65</v>
      </c>
      <c r="M13" s="5"/>
      <c r="N13" s="6"/>
      <c r="O13" s="7"/>
    </row>
    <row r="14" spans="1:15" x14ac:dyDescent="0.35">
      <c r="A14" t="s">
        <v>3</v>
      </c>
      <c r="B14" t="s">
        <v>10</v>
      </c>
      <c r="C14">
        <v>240</v>
      </c>
      <c r="D14">
        <f t="shared" si="0"/>
        <v>16</v>
      </c>
      <c r="E14">
        <f t="shared" si="1"/>
        <v>16</v>
      </c>
      <c r="F14">
        <f t="shared" si="2"/>
        <v>30</v>
      </c>
      <c r="G14">
        <f t="shared" si="3"/>
        <v>30</v>
      </c>
      <c r="I14" t="s">
        <v>12</v>
      </c>
      <c r="J14">
        <f t="shared" si="4"/>
        <v>240</v>
      </c>
      <c r="M14" s="5"/>
      <c r="N14" s="6"/>
      <c r="O14" s="7"/>
    </row>
    <row r="15" spans="1:15" x14ac:dyDescent="0.35">
      <c r="A15" t="s">
        <v>4</v>
      </c>
      <c r="B15" t="s">
        <v>10</v>
      </c>
      <c r="C15">
        <v>140</v>
      </c>
      <c r="D15">
        <f t="shared" si="0"/>
        <v>9</v>
      </c>
      <c r="E15">
        <f t="shared" si="1"/>
        <v>9.3333333333333339</v>
      </c>
      <c r="F15">
        <f t="shared" si="2"/>
        <v>18</v>
      </c>
      <c r="G15">
        <f t="shared" si="3"/>
        <v>17.5</v>
      </c>
      <c r="I15" t="s">
        <v>12</v>
      </c>
      <c r="J15">
        <f t="shared" si="4"/>
        <v>140</v>
      </c>
      <c r="M15" s="5"/>
      <c r="N15" s="6"/>
      <c r="O15" s="7"/>
    </row>
    <row r="16" spans="1:15" x14ac:dyDescent="0.35">
      <c r="A16" t="s">
        <v>5</v>
      </c>
      <c r="B16" t="s">
        <v>10</v>
      </c>
      <c r="C16">
        <v>70</v>
      </c>
      <c r="D16">
        <f t="shared" si="0"/>
        <v>5</v>
      </c>
      <c r="E16">
        <f t="shared" si="1"/>
        <v>4.666666666666667</v>
      </c>
      <c r="F16">
        <f t="shared" si="2"/>
        <v>9</v>
      </c>
      <c r="G16">
        <f t="shared" si="3"/>
        <v>8.75</v>
      </c>
      <c r="H16">
        <f>ROUND(I16,0)</f>
        <v>7</v>
      </c>
      <c r="I16">
        <f>C16/10</f>
        <v>7</v>
      </c>
      <c r="J16">
        <f t="shared" si="4"/>
        <v>70</v>
      </c>
      <c r="M16" s="5"/>
      <c r="N16" s="6"/>
      <c r="O16" s="7"/>
    </row>
    <row r="17" spans="1:15" x14ac:dyDescent="0.35">
      <c r="A17" t="s">
        <v>3</v>
      </c>
      <c r="B17" t="s">
        <v>11</v>
      </c>
      <c r="C17">
        <v>250</v>
      </c>
      <c r="D17">
        <f t="shared" si="0"/>
        <v>17</v>
      </c>
      <c r="E17">
        <f t="shared" si="1"/>
        <v>16.666666666666668</v>
      </c>
      <c r="F17">
        <f t="shared" si="2"/>
        <v>31</v>
      </c>
      <c r="G17">
        <f t="shared" si="3"/>
        <v>31.25</v>
      </c>
      <c r="I17" t="s">
        <v>12</v>
      </c>
      <c r="J17">
        <f t="shared" si="4"/>
        <v>250</v>
      </c>
      <c r="M17" s="5"/>
      <c r="N17" s="6"/>
      <c r="O17" s="7"/>
    </row>
    <row r="18" spans="1:15" x14ac:dyDescent="0.35">
      <c r="A18" t="s">
        <v>4</v>
      </c>
      <c r="B18" t="s">
        <v>11</v>
      </c>
      <c r="C18">
        <v>150</v>
      </c>
      <c r="D18">
        <f t="shared" si="0"/>
        <v>10</v>
      </c>
      <c r="E18">
        <f t="shared" si="1"/>
        <v>10</v>
      </c>
      <c r="F18">
        <f t="shared" si="2"/>
        <v>19</v>
      </c>
      <c r="G18">
        <f t="shared" si="3"/>
        <v>18.75</v>
      </c>
      <c r="I18" t="s">
        <v>12</v>
      </c>
      <c r="J18">
        <f t="shared" si="4"/>
        <v>150</v>
      </c>
      <c r="M18" s="5"/>
      <c r="N18" s="6"/>
      <c r="O18" s="7"/>
    </row>
    <row r="19" spans="1:15" x14ac:dyDescent="0.35">
      <c r="A19" t="s">
        <v>5</v>
      </c>
      <c r="B19" t="s">
        <v>11</v>
      </c>
      <c r="C19">
        <v>75</v>
      </c>
      <c r="D19">
        <f t="shared" si="0"/>
        <v>5</v>
      </c>
      <c r="E19">
        <f t="shared" si="1"/>
        <v>5</v>
      </c>
      <c r="F19">
        <f t="shared" si="2"/>
        <v>9</v>
      </c>
      <c r="G19">
        <f t="shared" si="3"/>
        <v>9.375</v>
      </c>
      <c r="H19">
        <f>ROUND(I19,0)</f>
        <v>8</v>
      </c>
      <c r="I19">
        <f>C19/10</f>
        <v>7.5</v>
      </c>
      <c r="J19">
        <f t="shared" si="4"/>
        <v>75</v>
      </c>
      <c r="M19" s="5"/>
      <c r="N19" s="6"/>
      <c r="O19" s="7"/>
    </row>
    <row r="20" spans="1:15" x14ac:dyDescent="0.35">
      <c r="M20" s="5"/>
      <c r="N20" s="6"/>
      <c r="O20" s="7"/>
    </row>
    <row r="21" spans="1:15" x14ac:dyDescent="0.35">
      <c r="M21" s="5"/>
      <c r="N21" s="6"/>
      <c r="O21" s="7"/>
    </row>
    <row r="22" spans="1:15" x14ac:dyDescent="0.35">
      <c r="M22" s="8"/>
      <c r="N22" s="9"/>
      <c r="O22" s="10"/>
    </row>
  </sheetData>
  <autoFilter ref="A1:A19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J4" sqref="J4"/>
    </sheetView>
  </sheetViews>
  <sheetFormatPr defaultRowHeight="14.5" x14ac:dyDescent="0.35"/>
  <cols>
    <col min="4" max="4" width="14.08984375" bestFit="1" customWidth="1"/>
    <col min="5" max="5" width="13.36328125" bestFit="1" customWidth="1"/>
    <col min="6" max="6" width="17" bestFit="1" customWidth="1"/>
    <col min="7" max="7" width="12" bestFit="1" customWidth="1"/>
  </cols>
  <sheetData>
    <row r="1" spans="1:7" s="11" customFormat="1" x14ac:dyDescent="0.35">
      <c r="A1" s="11" t="s">
        <v>0</v>
      </c>
      <c r="B1" s="11" t="s">
        <v>1</v>
      </c>
      <c r="C1" s="11" t="s">
        <v>2</v>
      </c>
      <c r="D1" s="11" t="s">
        <v>13</v>
      </c>
      <c r="E1" s="11" t="s">
        <v>14</v>
      </c>
      <c r="F1" s="11" t="s">
        <v>17</v>
      </c>
      <c r="G1" s="11" t="s">
        <v>16</v>
      </c>
    </row>
    <row r="2" spans="1:7" x14ac:dyDescent="0.35">
      <c r="A2" t="s">
        <v>3</v>
      </c>
      <c r="B2" t="s">
        <v>6</v>
      </c>
      <c r="C2">
        <v>200</v>
      </c>
      <c r="D2">
        <v>13</v>
      </c>
      <c r="E2">
        <v>25</v>
      </c>
      <c r="F2" t="s">
        <v>12</v>
      </c>
      <c r="G2">
        <v>200</v>
      </c>
    </row>
    <row r="3" spans="1:7" x14ac:dyDescent="0.35">
      <c r="A3" t="s">
        <v>4</v>
      </c>
      <c r="B3" t="s">
        <v>6</v>
      </c>
      <c r="C3">
        <v>100</v>
      </c>
      <c r="D3">
        <v>7</v>
      </c>
      <c r="E3">
        <v>13</v>
      </c>
      <c r="F3" t="s">
        <v>12</v>
      </c>
      <c r="G3">
        <v>100</v>
      </c>
    </row>
    <row r="4" spans="1:7" x14ac:dyDescent="0.35">
      <c r="A4" t="s">
        <v>5</v>
      </c>
      <c r="B4" t="s">
        <v>6</v>
      </c>
      <c r="C4">
        <v>50</v>
      </c>
      <c r="D4">
        <v>3</v>
      </c>
      <c r="E4">
        <v>6</v>
      </c>
      <c r="F4">
        <v>5</v>
      </c>
      <c r="G4">
        <v>50</v>
      </c>
    </row>
    <row r="5" spans="1:7" x14ac:dyDescent="0.35">
      <c r="A5" t="s">
        <v>3</v>
      </c>
      <c r="B5" t="s">
        <v>7</v>
      </c>
      <c r="C5">
        <v>220</v>
      </c>
      <c r="D5">
        <v>15</v>
      </c>
      <c r="E5">
        <v>28</v>
      </c>
      <c r="F5" t="s">
        <v>12</v>
      </c>
      <c r="G5">
        <v>220</v>
      </c>
    </row>
    <row r="6" spans="1:7" x14ac:dyDescent="0.35">
      <c r="A6" t="s">
        <v>4</v>
      </c>
      <c r="B6" t="s">
        <v>7</v>
      </c>
      <c r="C6">
        <v>120</v>
      </c>
      <c r="D6">
        <v>8</v>
      </c>
      <c r="E6">
        <v>15</v>
      </c>
      <c r="F6" t="s">
        <v>12</v>
      </c>
      <c r="G6">
        <v>120</v>
      </c>
    </row>
    <row r="7" spans="1:7" x14ac:dyDescent="0.35">
      <c r="A7" t="s">
        <v>5</v>
      </c>
      <c r="B7" t="s">
        <v>7</v>
      </c>
      <c r="C7">
        <v>60</v>
      </c>
      <c r="D7">
        <v>4</v>
      </c>
      <c r="E7">
        <v>8</v>
      </c>
      <c r="F7">
        <v>6</v>
      </c>
      <c r="G7">
        <v>60</v>
      </c>
    </row>
    <row r="8" spans="1:7" x14ac:dyDescent="0.35">
      <c r="A8" t="s">
        <v>3</v>
      </c>
      <c r="B8" t="s">
        <v>8</v>
      </c>
      <c r="C8">
        <v>210</v>
      </c>
      <c r="D8">
        <v>14</v>
      </c>
      <c r="E8">
        <v>26</v>
      </c>
      <c r="F8" t="s">
        <v>12</v>
      </c>
      <c r="G8">
        <v>210</v>
      </c>
    </row>
    <row r="9" spans="1:7" x14ac:dyDescent="0.35">
      <c r="A9" t="s">
        <v>4</v>
      </c>
      <c r="B9" t="s">
        <v>8</v>
      </c>
      <c r="C9">
        <v>110</v>
      </c>
      <c r="D9">
        <v>7</v>
      </c>
      <c r="E9">
        <v>14</v>
      </c>
      <c r="F9" t="s">
        <v>12</v>
      </c>
      <c r="G9">
        <v>110</v>
      </c>
    </row>
    <row r="10" spans="1:7" x14ac:dyDescent="0.35">
      <c r="A10" t="s">
        <v>5</v>
      </c>
      <c r="B10" t="s">
        <v>8</v>
      </c>
      <c r="C10">
        <v>55</v>
      </c>
      <c r="D10">
        <v>4</v>
      </c>
      <c r="E10">
        <v>7</v>
      </c>
      <c r="F10">
        <v>6</v>
      </c>
      <c r="G10">
        <v>55</v>
      </c>
    </row>
    <row r="11" spans="1:7" x14ac:dyDescent="0.35">
      <c r="A11" t="s">
        <v>3</v>
      </c>
      <c r="B11" t="s">
        <v>9</v>
      </c>
      <c r="C11">
        <v>230</v>
      </c>
      <c r="D11">
        <v>15</v>
      </c>
      <c r="E11">
        <v>29</v>
      </c>
      <c r="F11" t="s">
        <v>12</v>
      </c>
      <c r="G11">
        <v>230</v>
      </c>
    </row>
    <row r="12" spans="1:7" x14ac:dyDescent="0.35">
      <c r="A12" t="s">
        <v>4</v>
      </c>
      <c r="B12" t="s">
        <v>9</v>
      </c>
      <c r="C12">
        <v>130</v>
      </c>
      <c r="D12">
        <v>9</v>
      </c>
      <c r="E12">
        <v>16</v>
      </c>
      <c r="F12" t="s">
        <v>12</v>
      </c>
      <c r="G12">
        <v>130</v>
      </c>
    </row>
    <row r="13" spans="1:7" x14ac:dyDescent="0.35">
      <c r="A13" t="s">
        <v>5</v>
      </c>
      <c r="B13" t="s">
        <v>9</v>
      </c>
      <c r="C13">
        <v>65</v>
      </c>
      <c r="D13">
        <v>4</v>
      </c>
      <c r="E13">
        <v>8</v>
      </c>
      <c r="F13">
        <v>7</v>
      </c>
      <c r="G13">
        <v>65</v>
      </c>
    </row>
    <row r="14" spans="1:7" x14ac:dyDescent="0.35">
      <c r="A14" t="s">
        <v>3</v>
      </c>
      <c r="B14" t="s">
        <v>10</v>
      </c>
      <c r="C14">
        <v>240</v>
      </c>
      <c r="D14">
        <v>16</v>
      </c>
      <c r="E14">
        <v>30</v>
      </c>
      <c r="F14" t="s">
        <v>12</v>
      </c>
      <c r="G14">
        <v>240</v>
      </c>
    </row>
    <row r="15" spans="1:7" x14ac:dyDescent="0.35">
      <c r="A15" t="s">
        <v>4</v>
      </c>
      <c r="B15" t="s">
        <v>10</v>
      </c>
      <c r="C15">
        <v>140</v>
      </c>
      <c r="D15">
        <v>9</v>
      </c>
      <c r="E15">
        <v>18</v>
      </c>
      <c r="F15" t="s">
        <v>12</v>
      </c>
      <c r="G15">
        <v>140</v>
      </c>
    </row>
    <row r="16" spans="1:7" x14ac:dyDescent="0.35">
      <c r="A16" t="s">
        <v>5</v>
      </c>
      <c r="B16" t="s">
        <v>10</v>
      </c>
      <c r="C16">
        <v>70</v>
      </c>
      <c r="D16">
        <v>5</v>
      </c>
      <c r="E16">
        <v>9</v>
      </c>
      <c r="F16">
        <v>7</v>
      </c>
      <c r="G16">
        <v>70</v>
      </c>
    </row>
    <row r="17" spans="1:7" x14ac:dyDescent="0.35">
      <c r="A17" t="s">
        <v>3</v>
      </c>
      <c r="B17" t="s">
        <v>11</v>
      </c>
      <c r="C17">
        <v>250</v>
      </c>
      <c r="D17">
        <v>17</v>
      </c>
      <c r="E17">
        <v>31</v>
      </c>
      <c r="F17" t="s">
        <v>12</v>
      </c>
      <c r="G17">
        <v>250</v>
      </c>
    </row>
    <row r="18" spans="1:7" x14ac:dyDescent="0.35">
      <c r="A18" t="s">
        <v>4</v>
      </c>
      <c r="B18" t="s">
        <v>11</v>
      </c>
      <c r="C18">
        <v>150</v>
      </c>
      <c r="D18">
        <v>10</v>
      </c>
      <c r="E18">
        <v>19</v>
      </c>
      <c r="F18" t="s">
        <v>12</v>
      </c>
      <c r="G18">
        <v>150</v>
      </c>
    </row>
    <row r="19" spans="1:7" x14ac:dyDescent="0.35">
      <c r="A19" t="s">
        <v>5</v>
      </c>
      <c r="B19" t="s">
        <v>11</v>
      </c>
      <c r="C19">
        <v>75</v>
      </c>
      <c r="D19">
        <v>5</v>
      </c>
      <c r="E19">
        <v>9</v>
      </c>
      <c r="F19">
        <v>8</v>
      </c>
      <c r="G19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2024-10-10T18:50:43Z</dcterms:created>
  <dcterms:modified xsi:type="dcterms:W3CDTF">2024-10-10T23:51:50Z</dcterms:modified>
</cp:coreProperties>
</file>